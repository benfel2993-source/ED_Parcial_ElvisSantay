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ex_os/Desktop/"/>
    </mc:Choice>
  </mc:AlternateContent>
  <xr:revisionPtr revIDLastSave="0" documentId="8_{127E219F-D1FE-AD4A-9BC9-2E940ED56ED9}" xr6:coauthVersionLast="47" xr6:coauthVersionMax="47" xr10:uidLastSave="{00000000-0000-0000-0000-000000000000}"/>
  <bookViews>
    <workbookView xWindow="0" yWindow="500" windowWidth="25600" windowHeight="14260" tabRatio="500" firstSheet="1" activeTab="6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3" l="1"/>
  <c r="C6" i="3"/>
  <c r="D6" i="3"/>
  <c r="C7" i="3"/>
  <c r="D7" i="3"/>
  <c r="C8" i="3"/>
  <c r="D8" i="3"/>
  <c r="C9" i="3"/>
  <c r="D9" i="3"/>
  <c r="C10" i="3"/>
  <c r="D10" i="3"/>
  <c r="J49" i="2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<sst xmlns="http://schemas.openxmlformats.org/spreadsheetml/2006/main" count="209" uniqueCount="71">
  <si>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</si>
  <si>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</si>
  <si>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</si>
  <si>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</si>
  <si>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</si>
  <si>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</si>
  <si>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</si>
  <si>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</si>
  <si>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</si>
  <si>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</si>
  <si>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</si>
  <si>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</si>
  <si>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</si>
  <si>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</si>
  <si>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</si>
  <si>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</si>
  <si>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</si>
  <si>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</si>
  <si>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</si>
  <si>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</si>
  <si>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</si>
  <si>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</si>
  <si>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</si>
  <si>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</si>
  <si>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</si>
  <si>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</si>
  <si>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</si>
  <si>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</si>
  <si>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</si>
  <si>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</si>
  <si>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</si>
  <si>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</si>
  <si>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</si>
  <si>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</si>
  <si>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</si>
  <si>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</si>
  <si>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</si>
  <si>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</si>
  <si>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</si>
  <si>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</si>
  <si>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</si>
  <si>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</si>
  <si>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</si>
  <si>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</si>
  <si>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</si>
  <si>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</si>
  <si>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</si>
  <si>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</si>
  <si>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</si>
  <si>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</si>
  <si>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</si>
  <si>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</si>
  <si>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</si>
  <si>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</si>
  <si>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</si>
  <si>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</si>
  <si>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</si>
  <si>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</si>
  <si>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</si>
  <si>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</si>
  <si>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</si>
  <si>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</si>
  <si>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</si>
  <si>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</si>
  <si>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</si>
  <si>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>Si</t>
  </si>
  <si>
    <t>Casi</t>
  </si>
  <si>
    <t>El tiempo aumenta linealmente con n, confirmando complejidad O(n).</t>
  </si>
  <si>
    <t>El tiempo también crece linealmente, mostrando comportamiento O(n) más rapido que el iterativo</t>
  </si>
  <si>
    <t>El tiempo crece linealmente con n, por lo que su complejidad es O(n).</t>
  </si>
  <si>
    <t>El tiempo aumenta rápidamente con n, mostrando crecimiento exponencial O(2ⁿ).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</si>
</sst>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A48029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sz val="10"/>
      <color rgb="FF333333"/>
      <name val="Courier New"/>
      <family val="1"/>
    </font>
    <font>
      <b/>
      <sz val="13"/>
      <color rgb="FFFFFFFF"/>
      <name val="Arial"/>
      <family val="2"/>
    </font>
    <font>
      <b/>
      <sz val="9"/>
      <color rgb="FF1B3A6B"/>
      <name val="Arial"/>
      <family val="2"/>
    </font>
    <font>
      <sz val="9"/>
      <color rgb="FF555555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666666"/>
      <name val="Arial"/>
      <family val="2"/>
    </font>
    <font>
      <b/>
      <sz val="11"/>
      <color rgb="FF1B3A6B"/>
      <name val="Arial"/>
      <family val="2"/>
    </font>
    <font>
      <b/>
      <sz val="10"/>
      <color rgb="FF000000"/>
      <name val="Arial"/>
      <family val="2"/>
    </font>
    <font>
      <sz val="10"/>
      <color rgb="FF1B3A6B"/>
      <name val="Arial"/>
      <family val="2"/>
    </font>
    <font>
      <sz val="10"/>
      <color rgb="FFA48029"/>
      <name val="Arial"/>
      <family val="2"/>
    </font>
    <font>
      <i/>
      <sz val="9"/>
      <color rgb="FF333333"/>
      <name val="Arial"/>
      <family val="2"/>
    </font>
    <font>
      <b/>
      <sz val="11"/>
      <color rgb="FF8B0000"/>
      <name val="Arial"/>
      <family val="2"/>
    </font>
    <font>
      <sz val="10"/>
      <color rgb="FF8B0000"/>
      <name val="Arial"/>
      <family val="2"/>
    </font>
    <font>
      <b/>
      <sz val="9"/>
      <color rgb="FFFFFFFF"/>
      <name val="Arial"/>
      <family val="2"/>
    </font>
    <font>
      <sz val="9"/>
      <color rgb="FF444444"/>
      <name val="Arial"/>
      <family val="2"/>
    </font>
    <font>
      <b/>
      <sz val="9"/>
      <color rgb="FFAA0000"/>
      <name val="Arial"/>
      <family val="2"/>
    </font>
    <font>
      <b/>
      <sz val="9"/>
      <color rgb="FF007700"/>
      <name val="Arial"/>
      <family val="2"/>
    </font>
    <font>
      <sz val="9"/>
      <color rgb="FF33333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6.2347E-2</c:v>
                </c:pt>
                <c:pt idx="1">
                  <c:v>1.6009200000000001E-2</c:v>
                </c:pt>
                <c:pt idx="2">
                  <c:v>1.8479599999999999E-2</c:v>
                </c:pt>
                <c:pt idx="3">
                  <c:v>2.1714000000000001E-2</c:v>
                </c:pt>
                <c:pt idx="4">
                  <c:v>2.3922800000000001E-2</c:v>
                </c:pt>
                <c:pt idx="5">
                  <c:v>1.61672E-2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4.8294000000000002E-3</c:v>
                </c:pt>
                <c:pt idx="1">
                  <c:v>4.8275999999999996E-3</c:v>
                </c:pt>
                <c:pt idx="2">
                  <c:v>6.0374000000000001E-3</c:v>
                </c:pt>
                <c:pt idx="3">
                  <c:v>8.7083999999999998E-3</c:v>
                </c:pt>
                <c:pt idx="4">
                  <c:v>1.2848799999999999E-2</c:v>
                </c:pt>
                <c:pt idx="5">
                  <c:v>9.6389999999999983E-3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5.8532799999999996E-2</c:v>
                </c:pt>
                <c:pt idx="1">
                  <c:v>6.3020000000000003E-4</c:v>
                </c:pt>
                <c:pt idx="2">
                  <c:v>5.7059999999999999E-4</c:v>
                </c:pt>
                <c:pt idx="3">
                  <c:v>6.2960000000000002E-4</c:v>
                </c:pt>
                <c:pt idx="4">
                  <c:v>9.1040000000000012E-4</c:v>
                </c:pt>
                <c:pt idx="5">
                  <c:v>8.3120000000000004E-4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2.1628000000000003E-3</c:v>
                </c:pt>
                <c:pt idx="1">
                  <c:v>1.6634199999999998E-2</c:v>
                </c:pt>
                <c:pt idx="2">
                  <c:v>2.2536199999999999E-2</c:v>
                </c:pt>
                <c:pt idx="3">
                  <c:v>7.6810000000000003E-2</c:v>
                </c:pt>
                <c:pt idx="4">
                  <c:v>0.51206639999999992</c:v>
                </c:pt>
                <c:pt idx="5">
                  <c:v>4.7294042000000003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4.5307E-2</c:v>
                </c:pt>
                <c:pt idx="1">
                  <c:v>3.0452000000000005E-3</c:v>
                </c:pt>
                <c:pt idx="2">
                  <c:v>6.8896000000000001E-3</c:v>
                </c:pt>
                <c:pt idx="3">
                  <c:v>2.7230000000000004E-2</c:v>
                </c:pt>
                <c:pt idx="4">
                  <c:v>7.6614399999999999E-2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4.2074E-3</c:v>
                </c:pt>
                <c:pt idx="1">
                  <c:v>8.5141999999999995E-3</c:v>
                </c:pt>
                <c:pt idx="2">
                  <c:v>1.1696999999999999E-2</c:v>
                </c:pt>
                <c:pt idx="3">
                  <c:v>1.3024799999999998E-2</c:v>
                </c:pt>
                <c:pt idx="4">
                  <c:v>1.2268600000000001E-2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0.22338300000000003</c:v>
                </c:pt>
                <c:pt idx="1">
                  <c:v>1.1063592</c:v>
                </c:pt>
                <c:pt idx="2">
                  <c:v>1.2966221999999998</c:v>
                </c:pt>
                <c:pt idx="3">
                  <c:v>25.055694999999996</c:v>
                </c:pt>
                <c:pt idx="4">
                  <c:v>133.62584559999999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6.5986799999999998E-2</c:v>
                </c:pt>
                <c:pt idx="1">
                  <c:v>0.66024759999999993</c:v>
                </c:pt>
                <c:pt idx="2">
                  <c:v>0.84576600000000002</c:v>
                </c:pt>
                <c:pt idx="3">
                  <c:v>23.0189466</c:v>
                </c:pt>
                <c:pt idx="4">
                  <c:v>102.75335360000001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zoomScaleNormal="100" workbookViewId="0">
      <selection activeCell="C14" sqref="C14:D14"/>
    </sheetView>
  </sheetViews>
  <sheetFormatPr baseColWidth="10" defaultColWidth="8.6640625" defaultRowHeight="15" customHeight="1" x14ac:dyDescent="0.2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2"/>
    <row r="2" spans="2:4" ht="36" customHeight="1" x14ac:dyDescent="0.2">
      <c r="B2" s="31" t="s">
        <v>0</v>
      </c>
      <c r="C2" s="31"/>
      <c r="D2" s="31"/>
    </row>
    <row r="3" spans="2:4" ht="21.75" customHeight="1" x14ac:dyDescent="0.2">
      <c r="B3" s="32" t="s">
        <v>1</v>
      </c>
      <c r="C3" s="32"/>
      <c r="D3" s="32"/>
    </row>
    <row r="4" spans="2:4" ht="9.75" customHeight="1" x14ac:dyDescent="0.2"/>
    <row r="5" spans="2:4" ht="27.75" customHeight="1" x14ac:dyDescent="0.2">
      <c r="B5" s="33" t="s">
        <v>2</v>
      </c>
      <c r="C5" s="34" t="s">
        <v>3</v>
      </c>
      <c r="D5" s="34"/>
    </row>
    <row r="6" spans="2:4" ht="60" customHeight="1" x14ac:dyDescent="0.2">
      <c r="B6" s="33"/>
      <c r="C6" s="35"/>
      <c r="D6" s="35"/>
    </row>
    <row r="7" spans="2:4" ht="6" customHeight="1" x14ac:dyDescent="0.2"/>
    <row r="8" spans="2:4" ht="27.75" customHeight="1" x14ac:dyDescent="0.2">
      <c r="B8" s="33" t="s">
        <v>4</v>
      </c>
      <c r="C8" s="36" t="s">
        <v>5</v>
      </c>
      <c r="D8" s="36"/>
    </row>
    <row r="9" spans="2:4" ht="117.75" customHeight="1" x14ac:dyDescent="0.2">
      <c r="B9" s="33"/>
      <c r="C9" s="35"/>
      <c r="D9" s="35"/>
    </row>
    <row r="10" spans="2:4" ht="6" customHeight="1" x14ac:dyDescent="0.2"/>
    <row r="11" spans="2:4" ht="27.75" customHeight="1" x14ac:dyDescent="0.2">
      <c r="B11" s="33" t="s">
        <v>6</v>
      </c>
      <c r="C11" s="36" t="s">
        <v>7</v>
      </c>
      <c r="D11" s="36"/>
    </row>
    <row r="12" spans="2:4" ht="81.75" customHeight="1" x14ac:dyDescent="0.2">
      <c r="B12" s="33"/>
      <c r="C12" s="35"/>
      <c r="D12" s="35"/>
    </row>
    <row r="13" spans="2:4" ht="6" customHeight="1" x14ac:dyDescent="0.2"/>
    <row r="14" spans="2:4" ht="27.75" customHeight="1" x14ac:dyDescent="0.2">
      <c r="B14" s="33" t="s">
        <v>8</v>
      </c>
      <c r="C14" s="37" t="s">
        <v>9</v>
      </c>
      <c r="D14" s="37"/>
    </row>
    <row r="15" spans="2:4" ht="99.75" customHeight="1" x14ac:dyDescent="0.2">
      <c r="B15" s="33"/>
      <c r="C15" s="35"/>
      <c r="D15" s="35"/>
    </row>
    <row r="16" spans="2:4" ht="6" customHeight="1" x14ac:dyDescent="0.2"/>
    <row r="17" spans="2:4" ht="27.75" customHeight="1" x14ac:dyDescent="0.2">
      <c r="B17" s="33" t="s">
        <v>10</v>
      </c>
      <c r="C17" s="34" t="s">
        <v>11</v>
      </c>
      <c r="D17" s="34"/>
    </row>
    <row r="18" spans="2:4" ht="99.75" customHeight="1" x14ac:dyDescent="0.2">
      <c r="B18" s="33"/>
      <c r="C18" s="35"/>
      <c r="D18" s="35"/>
    </row>
    <row r="19" spans="2:4" ht="6" customHeight="1" x14ac:dyDescent="0.2"/>
    <row r="20" spans="2:4" ht="27.75" customHeight="1" x14ac:dyDescent="0.2">
      <c r="B20" s="33" t="s">
        <v>12</v>
      </c>
      <c r="C20" s="36" t="s">
        <v>13</v>
      </c>
      <c r="D20" s="36"/>
    </row>
    <row r="21" spans="2:4" ht="81.75" customHeight="1" x14ac:dyDescent="0.2">
      <c r="B21" s="33"/>
      <c r="C21" s="35"/>
      <c r="D21" s="35"/>
    </row>
    <row r="22" spans="2:4" ht="6" customHeight="1" x14ac:dyDescent="0.2"/>
  </sheetData>
  <mergeCells count="20"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  <mergeCell ref="B8:B9"/>
    <mergeCell ref="C8:D8"/>
    <mergeCell ref="C9:D9"/>
    <mergeCell ref="B11:B12"/>
    <mergeCell ref="C11:D11"/>
    <mergeCell ref="C12:D12"/>
    <mergeCell ref="B2:D2"/>
    <mergeCell ref="B3:D3"/>
    <mergeCell ref="B5:B6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topLeftCell="C1" zoomScaleNormal="100" workbookViewId="0">
      <pane ySplit="2" topLeftCell="A40" activePane="bottomLeft" state="frozen"/>
      <selection pane="bottomLeft" activeCell="I40" sqref="I40:I49"/>
    </sheetView>
  </sheetViews>
  <sheetFormatPr baseColWidth="10" defaultColWidth="8.6640625" defaultRowHeight="15" customHeight="1" x14ac:dyDescent="0.2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2">
      <c r="B1" s="38" t="s">
        <v>14</v>
      </c>
      <c r="C1" s="38"/>
      <c r="D1" s="38"/>
      <c r="E1" s="38"/>
      <c r="F1" s="38"/>
      <c r="G1" s="38"/>
      <c r="H1" s="38"/>
      <c r="I1" s="38"/>
    </row>
    <row r="2" spans="2:10" ht="36" customHeight="1" x14ac:dyDescent="0.2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2">
      <c r="B3" s="3" t="s">
        <v>24</v>
      </c>
      <c r="C3" s="4" t="s">
        <v>25</v>
      </c>
      <c r="D3" s="5">
        <v>5</v>
      </c>
      <c r="E3" s="6">
        <v>7.3438000000000003E-2</v>
      </c>
      <c r="F3" s="6">
        <v>7.0584999999999995E-2</v>
      </c>
      <c r="G3" s="6">
        <v>7.1274000000000004E-2</v>
      </c>
      <c r="H3" s="6">
        <v>6.9015000000000007E-2</v>
      </c>
      <c r="I3" s="6">
        <v>6.719E-2</v>
      </c>
      <c r="J3" s="7">
        <f t="shared" ref="J3:J14" si="0">AVERAGE(E3:I3)</f>
        <v>7.0300399999999999E-2</v>
      </c>
    </row>
    <row r="4" spans="2:10" ht="18" customHeight="1" x14ac:dyDescent="0.2">
      <c r="B4" s="3" t="s">
        <v>24</v>
      </c>
      <c r="C4" s="4" t="s">
        <v>25</v>
      </c>
      <c r="D4" s="5">
        <v>10</v>
      </c>
      <c r="E4" s="6">
        <v>1.0678E-2</v>
      </c>
      <c r="F4" s="6">
        <v>1.7212999999999999E-2</v>
      </c>
      <c r="G4" s="6">
        <v>2.7480000000000001E-2</v>
      </c>
      <c r="H4" s="6">
        <v>1.2142999999999999E-2</v>
      </c>
      <c r="I4" s="6">
        <v>1.2532E-2</v>
      </c>
      <c r="J4" s="7">
        <f t="shared" si="0"/>
        <v>1.6009200000000001E-2</v>
      </c>
    </row>
    <row r="5" spans="2:10" ht="18" customHeight="1" x14ac:dyDescent="0.2">
      <c r="B5" s="3" t="s">
        <v>24</v>
      </c>
      <c r="C5" s="4" t="s">
        <v>25</v>
      </c>
      <c r="D5" s="5">
        <v>15</v>
      </c>
      <c r="E5" s="6">
        <v>1.9501000000000001E-2</v>
      </c>
      <c r="F5" s="6">
        <v>1.6355000000000001E-2</v>
      </c>
      <c r="G5" s="6">
        <v>1.9229E-2</v>
      </c>
      <c r="H5" s="6">
        <v>1.6091999999999999E-2</v>
      </c>
      <c r="I5" s="6">
        <v>2.1221E-2</v>
      </c>
      <c r="J5" s="7">
        <f t="shared" si="0"/>
        <v>1.8479599999999999E-2</v>
      </c>
    </row>
    <row r="6" spans="2:10" ht="18" customHeight="1" x14ac:dyDescent="0.2">
      <c r="B6" s="3" t="s">
        <v>24</v>
      </c>
      <c r="C6" s="4" t="s">
        <v>25</v>
      </c>
      <c r="D6" s="5">
        <v>20</v>
      </c>
      <c r="E6" s="6">
        <v>1.8631000000000002E-2</v>
      </c>
      <c r="F6" s="6">
        <v>2.5002E-2</v>
      </c>
      <c r="G6" s="6">
        <v>2.3344E-2</v>
      </c>
      <c r="H6" s="6">
        <v>2.0809000000000001E-2</v>
      </c>
      <c r="I6" s="6">
        <v>2.0784E-2</v>
      </c>
      <c r="J6" s="7">
        <f t="shared" si="0"/>
        <v>2.1714000000000001E-2</v>
      </c>
    </row>
    <row r="7" spans="2:10" ht="18" customHeight="1" x14ac:dyDescent="0.2">
      <c r="B7" s="3" t="s">
        <v>24</v>
      </c>
      <c r="C7" s="4" t="s">
        <v>25</v>
      </c>
      <c r="D7" s="5">
        <v>25</v>
      </c>
      <c r="E7" s="6">
        <v>1.7946E-2</v>
      </c>
      <c r="F7" s="6">
        <v>1.8887000000000001E-2</v>
      </c>
      <c r="G7" s="6">
        <v>4.2861999999999997E-2</v>
      </c>
      <c r="H7" s="6">
        <v>1.9845000000000002E-2</v>
      </c>
      <c r="I7" s="6">
        <v>2.0074000000000002E-2</v>
      </c>
      <c r="J7" s="7">
        <f t="shared" si="0"/>
        <v>2.3922800000000001E-2</v>
      </c>
    </row>
    <row r="8" spans="2:10" ht="18" customHeight="1" x14ac:dyDescent="0.2">
      <c r="B8" s="3" t="s">
        <v>24</v>
      </c>
      <c r="C8" s="4" t="s">
        <v>25</v>
      </c>
      <c r="D8" s="5">
        <v>30</v>
      </c>
      <c r="E8" s="6">
        <v>2.1114999999999998E-2</v>
      </c>
      <c r="F8" s="6">
        <v>1.3219E-2</v>
      </c>
      <c r="G8" s="6">
        <v>1.2297000000000001E-2</v>
      </c>
      <c r="H8" s="6">
        <v>2.0246E-2</v>
      </c>
      <c r="I8" s="6">
        <v>1.3958999999999999E-2</v>
      </c>
      <c r="J8" s="7">
        <f t="shared" si="0"/>
        <v>1.61672E-2</v>
      </c>
    </row>
    <row r="9" spans="2:10" ht="18" customHeight="1" x14ac:dyDescent="0.2">
      <c r="B9" s="8" t="s">
        <v>24</v>
      </c>
      <c r="C9" s="9" t="s">
        <v>26</v>
      </c>
      <c r="D9" s="10">
        <v>5</v>
      </c>
      <c r="E9" s="6">
        <v>4.3480000000000003E-3</v>
      </c>
      <c r="F9" s="6">
        <v>4.3800000000000002E-3</v>
      </c>
      <c r="G9" s="6">
        <v>4.548E-3</v>
      </c>
      <c r="H9" s="6">
        <v>5.8040000000000001E-3</v>
      </c>
      <c r="I9" s="6">
        <v>5.0670000000000003E-3</v>
      </c>
      <c r="J9" s="7">
        <f t="shared" si="0"/>
        <v>4.8294000000000002E-3</v>
      </c>
    </row>
    <row r="10" spans="2:10" ht="18" customHeight="1" x14ac:dyDescent="0.2">
      <c r="B10" s="8" t="s">
        <v>24</v>
      </c>
      <c r="C10" s="9" t="s">
        <v>26</v>
      </c>
      <c r="D10" s="10">
        <v>10</v>
      </c>
      <c r="E10" s="6">
        <v>3.1519999999999999E-3</v>
      </c>
      <c r="F10" s="6">
        <v>3.4719999999999998E-3</v>
      </c>
      <c r="G10" s="6">
        <v>8.1960000000000002E-3</v>
      </c>
      <c r="H10" s="6">
        <v>5.7349999999999996E-3</v>
      </c>
      <c r="I10" s="6">
        <v>3.5829999999999998E-3</v>
      </c>
      <c r="J10" s="7">
        <f t="shared" si="0"/>
        <v>4.8275999999999996E-3</v>
      </c>
    </row>
    <row r="11" spans="2:10" ht="18" customHeight="1" x14ac:dyDescent="0.2">
      <c r="B11" s="8" t="s">
        <v>24</v>
      </c>
      <c r="C11" s="9" t="s">
        <v>26</v>
      </c>
      <c r="D11" s="10">
        <v>15</v>
      </c>
      <c r="E11" s="6">
        <v>6.0899999999999999E-3</v>
      </c>
      <c r="F11" s="6">
        <v>5.2839999999999996E-3</v>
      </c>
      <c r="G11" s="6">
        <v>6.5160000000000001E-3</v>
      </c>
      <c r="H11" s="6">
        <v>6.2950000000000002E-3</v>
      </c>
      <c r="I11" s="6">
        <v>6.0020000000000004E-3</v>
      </c>
      <c r="J11" s="7">
        <f t="shared" si="0"/>
        <v>6.0374000000000001E-3</v>
      </c>
    </row>
    <row r="12" spans="2:10" ht="18" customHeight="1" x14ac:dyDescent="0.2">
      <c r="B12" s="8" t="s">
        <v>24</v>
      </c>
      <c r="C12" s="9" t="s">
        <v>26</v>
      </c>
      <c r="D12" s="10">
        <v>20</v>
      </c>
      <c r="E12" s="6">
        <v>9.6249999999999999E-3</v>
      </c>
      <c r="F12" s="6">
        <v>8.9320000000000007E-3</v>
      </c>
      <c r="G12" s="6">
        <v>8.6999999999999994E-3</v>
      </c>
      <c r="H12" s="6">
        <v>8.0700000000000008E-3</v>
      </c>
      <c r="I12" s="6">
        <v>8.2150000000000001E-3</v>
      </c>
      <c r="J12" s="7">
        <f t="shared" si="0"/>
        <v>8.7083999999999998E-3</v>
      </c>
    </row>
    <row r="13" spans="2:10" ht="18" customHeight="1" x14ac:dyDescent="0.2">
      <c r="B13" s="8" t="s">
        <v>24</v>
      </c>
      <c r="C13" s="9" t="s">
        <v>26</v>
      </c>
      <c r="D13" s="10">
        <v>25</v>
      </c>
      <c r="E13" s="6">
        <v>7.9459999999999999E-3</v>
      </c>
      <c r="F13" s="6">
        <v>9.9299999999999996E-3</v>
      </c>
      <c r="G13" s="6">
        <v>1.2503E-2</v>
      </c>
      <c r="H13" s="6">
        <v>1.5358999999999999E-2</v>
      </c>
      <c r="I13" s="6">
        <v>1.8506000000000002E-2</v>
      </c>
      <c r="J13" s="7">
        <f t="shared" si="0"/>
        <v>1.2848799999999999E-2</v>
      </c>
    </row>
    <row r="14" spans="2:10" ht="18" customHeight="1" x14ac:dyDescent="0.2">
      <c r="B14" s="8" t="s">
        <v>24</v>
      </c>
      <c r="C14" s="9" t="s">
        <v>26</v>
      </c>
      <c r="D14" s="10">
        <v>30</v>
      </c>
      <c r="E14" s="6">
        <v>5.8729999999999997E-3</v>
      </c>
      <c r="F14" s="6">
        <v>7.2009999999999999E-3</v>
      </c>
      <c r="G14" s="6">
        <v>1.1455999999999999E-2</v>
      </c>
      <c r="H14" s="6">
        <v>1.5772999999999999E-2</v>
      </c>
      <c r="I14" s="6">
        <v>7.8919999999999997E-3</v>
      </c>
      <c r="J14" s="7">
        <f t="shared" si="0"/>
        <v>9.6389999999999983E-3</v>
      </c>
    </row>
    <row r="16" spans="2:10" ht="18" customHeight="1" x14ac:dyDescent="0.2">
      <c r="B16" s="3" t="s">
        <v>27</v>
      </c>
      <c r="C16" s="4" t="s">
        <v>25</v>
      </c>
      <c r="D16" s="5">
        <v>5</v>
      </c>
      <c r="E16" s="6">
        <v>4.1195000000000002E-2</v>
      </c>
      <c r="F16" s="6">
        <v>6.0158000000000003E-2</v>
      </c>
      <c r="G16" s="6">
        <v>5.5307000000000002E-2</v>
      </c>
      <c r="H16" s="6">
        <v>6.4528000000000002E-2</v>
      </c>
      <c r="I16" s="6">
        <v>7.1475999999999998E-2</v>
      </c>
      <c r="J16" s="7">
        <f t="shared" ref="J16:J27" si="1">AVERAGE(E16:I16)</f>
        <v>5.8532799999999996E-2</v>
      </c>
    </row>
    <row r="17" spans="2:10" ht="18" customHeight="1" x14ac:dyDescent="0.2">
      <c r="B17" s="3" t="s">
        <v>27</v>
      </c>
      <c r="C17" s="4" t="s">
        <v>25</v>
      </c>
      <c r="D17" s="5">
        <v>10</v>
      </c>
      <c r="E17" s="6">
        <v>4.57E-4</v>
      </c>
      <c r="F17" s="6">
        <v>6.29E-4</v>
      </c>
      <c r="G17" s="6">
        <v>5.5099999999999995E-4</v>
      </c>
      <c r="H17" s="6">
        <v>7.18E-4</v>
      </c>
      <c r="I17" s="6">
        <v>7.9600000000000005E-4</v>
      </c>
      <c r="J17" s="7">
        <f t="shared" si="1"/>
        <v>6.3020000000000003E-4</v>
      </c>
    </row>
    <row r="18" spans="2:10" ht="18" customHeight="1" x14ac:dyDescent="0.2">
      <c r="B18" s="3" t="s">
        <v>27</v>
      </c>
      <c r="C18" s="4" t="s">
        <v>25</v>
      </c>
      <c r="D18" s="5">
        <v>15</v>
      </c>
      <c r="E18" s="6">
        <v>5.0799999999999999E-4</v>
      </c>
      <c r="F18" s="6">
        <v>5.6300000000000002E-4</v>
      </c>
      <c r="G18" s="6">
        <v>6.02E-4</v>
      </c>
      <c r="H18" s="6">
        <v>5.6899999999999995E-4</v>
      </c>
      <c r="I18" s="6">
        <v>6.11E-4</v>
      </c>
      <c r="J18" s="7">
        <f t="shared" si="1"/>
        <v>5.7059999999999999E-4</v>
      </c>
    </row>
    <row r="19" spans="2:10" ht="18" customHeight="1" x14ac:dyDescent="0.2">
      <c r="B19" s="3" t="s">
        <v>27</v>
      </c>
      <c r="C19" s="4" t="s">
        <v>25</v>
      </c>
      <c r="D19" s="5">
        <v>20</v>
      </c>
      <c r="E19" s="6">
        <v>5.7200000000000003E-4</v>
      </c>
      <c r="F19" s="6">
        <v>6.5399999999999996E-4</v>
      </c>
      <c r="G19" s="6">
        <v>6.5700000000000003E-4</v>
      </c>
      <c r="H19" s="6">
        <v>6.0099999999999997E-4</v>
      </c>
      <c r="I19" s="6">
        <v>6.6399999999999999E-4</v>
      </c>
      <c r="J19" s="7">
        <f t="shared" si="1"/>
        <v>6.2960000000000002E-4</v>
      </c>
    </row>
    <row r="20" spans="2:10" ht="18" customHeight="1" x14ac:dyDescent="0.2">
      <c r="B20" s="3" t="s">
        <v>27</v>
      </c>
      <c r="C20" s="4" t="s">
        <v>25</v>
      </c>
      <c r="D20" s="5">
        <v>25</v>
      </c>
      <c r="E20" s="6">
        <v>6.2200000000000005E-4</v>
      </c>
      <c r="F20" s="6">
        <v>1.3569999999999999E-3</v>
      </c>
      <c r="G20" s="6">
        <v>7.0600000000000003E-4</v>
      </c>
      <c r="H20" s="6">
        <v>6.87E-4</v>
      </c>
      <c r="I20" s="6">
        <v>1.1800000000000001E-3</v>
      </c>
      <c r="J20" s="7">
        <f t="shared" si="1"/>
        <v>9.1040000000000012E-4</v>
      </c>
    </row>
    <row r="21" spans="2:10" ht="18" customHeight="1" x14ac:dyDescent="0.2">
      <c r="B21" s="3" t="s">
        <v>27</v>
      </c>
      <c r="C21" s="4" t="s">
        <v>25</v>
      </c>
      <c r="D21" s="5">
        <v>30</v>
      </c>
      <c r="E21" s="6">
        <v>7.0899999999999999E-4</v>
      </c>
      <c r="F21" s="6">
        <v>1.2130000000000001E-3</v>
      </c>
      <c r="G21" s="6">
        <v>7.1699999999999997E-4</v>
      </c>
      <c r="H21" s="6">
        <v>7.3099999999999999E-4</v>
      </c>
      <c r="I21" s="6">
        <v>7.8600000000000002E-4</v>
      </c>
      <c r="J21" s="7">
        <f t="shared" si="1"/>
        <v>8.3120000000000004E-4</v>
      </c>
    </row>
    <row r="22" spans="2:10" ht="18" customHeight="1" x14ac:dyDescent="0.2">
      <c r="B22" s="8" t="s">
        <v>27</v>
      </c>
      <c r="C22" s="9" t="s">
        <v>26</v>
      </c>
      <c r="D22" s="10">
        <v>5</v>
      </c>
      <c r="E22" s="6">
        <v>1.9550000000000001E-3</v>
      </c>
      <c r="F22" s="6">
        <v>3.1480000000000002E-3</v>
      </c>
      <c r="G22" s="6">
        <v>2.0839999999999999E-3</v>
      </c>
      <c r="H22" s="6">
        <v>1.7930000000000001E-3</v>
      </c>
      <c r="I22" s="6">
        <v>1.8339999999999999E-3</v>
      </c>
      <c r="J22" s="7">
        <f t="shared" si="1"/>
        <v>2.1628000000000003E-3</v>
      </c>
    </row>
    <row r="23" spans="2:10" ht="18" customHeight="1" x14ac:dyDescent="0.2">
      <c r="B23" s="8" t="s">
        <v>27</v>
      </c>
      <c r="C23" s="9" t="s">
        <v>26</v>
      </c>
      <c r="D23" s="10">
        <v>10</v>
      </c>
      <c r="E23" s="6">
        <v>1.3801000000000001E-2</v>
      </c>
      <c r="F23" s="6">
        <v>1.6247999999999999E-2</v>
      </c>
      <c r="G23" s="6">
        <v>1.9904000000000002E-2</v>
      </c>
      <c r="H23" s="6">
        <v>1.6628E-2</v>
      </c>
      <c r="I23" s="6">
        <v>1.6590000000000001E-2</v>
      </c>
      <c r="J23" s="7">
        <f t="shared" si="1"/>
        <v>1.6634199999999998E-2</v>
      </c>
    </row>
    <row r="24" spans="2:10" ht="18" customHeight="1" x14ac:dyDescent="0.2">
      <c r="B24" s="8" t="s">
        <v>27</v>
      </c>
      <c r="C24" s="9" t="s">
        <v>26</v>
      </c>
      <c r="D24" s="10">
        <v>15</v>
      </c>
      <c r="E24" s="6">
        <v>1.3254999999999999E-2</v>
      </c>
      <c r="F24" s="6">
        <v>4.9168000000000003E-2</v>
      </c>
      <c r="G24" s="6">
        <v>1.8894000000000001E-2</v>
      </c>
      <c r="H24" s="6">
        <v>1.6226999999999998E-2</v>
      </c>
      <c r="I24" s="6">
        <v>1.5136999999999999E-2</v>
      </c>
      <c r="J24" s="7">
        <f t="shared" si="1"/>
        <v>2.2536199999999999E-2</v>
      </c>
    </row>
    <row r="25" spans="2:10" ht="18" customHeight="1" x14ac:dyDescent="0.2">
      <c r="B25" s="8" t="s">
        <v>27</v>
      </c>
      <c r="C25" s="9" t="s">
        <v>26</v>
      </c>
      <c r="D25" s="10">
        <v>20</v>
      </c>
      <c r="E25" s="6">
        <v>7.4680999999999997E-2</v>
      </c>
      <c r="F25" s="6">
        <v>6.4979999999999996E-2</v>
      </c>
      <c r="G25" s="6">
        <v>7.4024999999999994E-2</v>
      </c>
      <c r="H25" s="6">
        <v>8.7918999999999997E-2</v>
      </c>
      <c r="I25" s="6">
        <v>8.2445000000000004E-2</v>
      </c>
      <c r="J25" s="7">
        <f t="shared" si="1"/>
        <v>7.6810000000000003E-2</v>
      </c>
    </row>
    <row r="26" spans="2:10" ht="18" customHeight="1" x14ac:dyDescent="0.2">
      <c r="B26" s="8" t="s">
        <v>27</v>
      </c>
      <c r="C26" s="9" t="s">
        <v>26</v>
      </c>
      <c r="D26" s="10">
        <v>25</v>
      </c>
      <c r="E26" s="6">
        <v>0.44056899999999999</v>
      </c>
      <c r="F26" s="6">
        <v>0.48851800000000001</v>
      </c>
      <c r="G26" s="6">
        <v>0.62794499999999998</v>
      </c>
      <c r="H26" s="6">
        <v>0.51591399999999998</v>
      </c>
      <c r="I26" s="6">
        <v>0.48738599999999999</v>
      </c>
      <c r="J26" s="7">
        <f t="shared" si="1"/>
        <v>0.51206639999999992</v>
      </c>
    </row>
    <row r="27" spans="2:10" ht="18" customHeight="1" x14ac:dyDescent="0.2">
      <c r="B27" s="8" t="s">
        <v>27</v>
      </c>
      <c r="C27" s="9" t="s">
        <v>26</v>
      </c>
      <c r="D27" s="10">
        <v>30</v>
      </c>
      <c r="E27" s="6">
        <v>3.9977749999999999</v>
      </c>
      <c r="F27" s="6">
        <v>5.0565600000000002</v>
      </c>
      <c r="G27" s="6">
        <v>5.4833410000000002</v>
      </c>
      <c r="H27" s="6">
        <v>4.6472410000000002</v>
      </c>
      <c r="I27" s="6">
        <v>4.4621040000000001</v>
      </c>
      <c r="J27" s="7">
        <f t="shared" si="1"/>
        <v>4.7294042000000003</v>
      </c>
    </row>
    <row r="29" spans="2:10" ht="18" customHeight="1" x14ac:dyDescent="0.2">
      <c r="B29" s="3" t="s">
        <v>28</v>
      </c>
      <c r="C29" s="4" t="s">
        <v>25</v>
      </c>
      <c r="D29" s="5">
        <v>100</v>
      </c>
      <c r="E29" s="6">
        <v>2.9175E-2</v>
      </c>
      <c r="F29" s="6">
        <v>5.0559E-2</v>
      </c>
      <c r="G29" s="6">
        <v>4.9459999999999997E-2</v>
      </c>
      <c r="H29" s="6">
        <v>3.9204999999999997E-2</v>
      </c>
      <c r="I29" s="6">
        <v>5.8136E-2</v>
      </c>
      <c r="J29" s="7">
        <f t="shared" ref="J29:J38" si="2">AVERAGE(E29:I29)</f>
        <v>4.5307E-2</v>
      </c>
    </row>
    <row r="30" spans="2:10" ht="18" customHeight="1" x14ac:dyDescent="0.2">
      <c r="B30" s="3" t="s">
        <v>28</v>
      </c>
      <c r="C30" s="4" t="s">
        <v>25</v>
      </c>
      <c r="D30" s="5">
        <v>500</v>
      </c>
      <c r="E30" s="6">
        <v>3.8040000000000001E-3</v>
      </c>
      <c r="F30" s="6">
        <v>3.921E-3</v>
      </c>
      <c r="G30" s="6">
        <v>1.1440000000000001E-3</v>
      </c>
      <c r="H30" s="6">
        <v>2.941E-3</v>
      </c>
      <c r="I30" s="6">
        <v>3.4160000000000002E-3</v>
      </c>
      <c r="J30" s="7">
        <f t="shared" si="2"/>
        <v>3.0452000000000005E-3</v>
      </c>
    </row>
    <row r="31" spans="2:10" ht="18" customHeight="1" x14ac:dyDescent="0.2">
      <c r="B31" s="3" t="s">
        <v>28</v>
      </c>
      <c r="C31" s="4" t="s">
        <v>25</v>
      </c>
      <c r="D31" s="5">
        <v>1000</v>
      </c>
      <c r="E31" s="6">
        <v>7.3270000000000002E-3</v>
      </c>
      <c r="F31" s="6">
        <v>7.4999999999999997E-3</v>
      </c>
      <c r="G31" s="6">
        <v>7.6350000000000003E-3</v>
      </c>
      <c r="H31" s="6">
        <v>5.4140000000000004E-3</v>
      </c>
      <c r="I31" s="6">
        <v>6.5719999999999997E-3</v>
      </c>
      <c r="J31" s="7">
        <f t="shared" si="2"/>
        <v>6.8896000000000001E-3</v>
      </c>
    </row>
    <row r="32" spans="2:10" ht="18" customHeight="1" x14ac:dyDescent="0.2">
      <c r="B32" s="3" t="s">
        <v>28</v>
      </c>
      <c r="C32" s="4" t="s">
        <v>25</v>
      </c>
      <c r="D32" s="5">
        <v>5000</v>
      </c>
      <c r="E32" s="6">
        <v>3.4944000000000003E-2</v>
      </c>
      <c r="F32" s="6">
        <v>2.3591000000000001E-2</v>
      </c>
      <c r="G32" s="6">
        <v>1.3325999999999999E-2</v>
      </c>
      <c r="H32" s="6">
        <v>3.3083000000000001E-2</v>
      </c>
      <c r="I32" s="6">
        <v>3.1206000000000001E-2</v>
      </c>
      <c r="J32" s="7">
        <f t="shared" si="2"/>
        <v>2.7230000000000004E-2</v>
      </c>
    </row>
    <row r="33" spans="2:10" ht="18" customHeight="1" x14ac:dyDescent="0.2">
      <c r="B33" s="3" t="s">
        <v>28</v>
      </c>
      <c r="C33" s="4" t="s">
        <v>25</v>
      </c>
      <c r="D33" s="5">
        <v>10000</v>
      </c>
      <c r="E33" s="6">
        <v>6.9088999999999998E-2</v>
      </c>
      <c r="F33" s="6">
        <v>0.11788899999999999</v>
      </c>
      <c r="G33" s="6">
        <v>5.926E-2</v>
      </c>
      <c r="H33" s="6">
        <v>7.4699000000000002E-2</v>
      </c>
      <c r="I33" s="6">
        <v>6.2135000000000003E-2</v>
      </c>
      <c r="J33" s="7">
        <f t="shared" si="2"/>
        <v>7.6614399999999999E-2</v>
      </c>
    </row>
    <row r="34" spans="2:10" ht="18" customHeight="1" x14ac:dyDescent="0.2">
      <c r="B34" s="8" t="s">
        <v>28</v>
      </c>
      <c r="C34" s="9" t="s">
        <v>26</v>
      </c>
      <c r="D34" s="10">
        <v>100</v>
      </c>
      <c r="E34" s="6">
        <v>4.2119999999999996E-3</v>
      </c>
      <c r="F34" s="6">
        <v>2.9480000000000001E-3</v>
      </c>
      <c r="G34" s="6">
        <v>4.9540000000000001E-3</v>
      </c>
      <c r="H34" s="6">
        <v>4.594E-3</v>
      </c>
      <c r="I34" s="6">
        <v>4.3290000000000004E-3</v>
      </c>
      <c r="J34" s="7">
        <f t="shared" si="2"/>
        <v>4.2074E-3</v>
      </c>
    </row>
    <row r="35" spans="2:10" ht="18" customHeight="1" x14ac:dyDescent="0.2">
      <c r="B35" s="8" t="s">
        <v>28</v>
      </c>
      <c r="C35" s="9" t="s">
        <v>26</v>
      </c>
      <c r="D35" s="10">
        <v>500</v>
      </c>
      <c r="E35" s="6">
        <v>5.9049999999999997E-3</v>
      </c>
      <c r="F35" s="6">
        <v>2.5458000000000001E-2</v>
      </c>
      <c r="G35" s="6">
        <v>1.727E-3</v>
      </c>
      <c r="H35" s="6">
        <v>1.866E-3</v>
      </c>
      <c r="I35" s="6">
        <v>7.6150000000000002E-3</v>
      </c>
      <c r="J35" s="7">
        <f t="shared" si="2"/>
        <v>8.5141999999999995E-3</v>
      </c>
    </row>
    <row r="36" spans="2:10" ht="18" customHeight="1" x14ac:dyDescent="0.2">
      <c r="B36" s="8" t="s">
        <v>28</v>
      </c>
      <c r="C36" s="9" t="s">
        <v>26</v>
      </c>
      <c r="D36" s="10">
        <v>1000</v>
      </c>
      <c r="E36" s="6">
        <v>4.2259999999999997E-3</v>
      </c>
      <c r="F36" s="6">
        <v>4.5082999999999998E-2</v>
      </c>
      <c r="G36" s="6">
        <v>4.4039999999999999E-3</v>
      </c>
      <c r="H36" s="6">
        <v>1.7179999999999999E-3</v>
      </c>
      <c r="I36" s="6">
        <v>3.0539999999999999E-3</v>
      </c>
      <c r="J36" s="7">
        <f t="shared" si="2"/>
        <v>1.1696999999999999E-2</v>
      </c>
    </row>
    <row r="37" spans="2:10" ht="18" customHeight="1" x14ac:dyDescent="0.2">
      <c r="B37" s="8" t="s">
        <v>28</v>
      </c>
      <c r="C37" s="9" t="s">
        <v>26</v>
      </c>
      <c r="D37" s="10">
        <v>5000</v>
      </c>
      <c r="E37" s="6">
        <v>8.0490000000000006E-3</v>
      </c>
      <c r="F37" s="6">
        <v>1.4271000000000001E-2</v>
      </c>
      <c r="G37" s="6">
        <v>1.8931E-2</v>
      </c>
      <c r="H37" s="6">
        <v>2.3403E-2</v>
      </c>
      <c r="I37" s="6">
        <v>4.6999999999999999E-4</v>
      </c>
      <c r="J37" s="7">
        <f t="shared" si="2"/>
        <v>1.3024799999999998E-2</v>
      </c>
    </row>
    <row r="38" spans="2:10" ht="18" customHeight="1" x14ac:dyDescent="0.2">
      <c r="B38" s="8" t="s">
        <v>28</v>
      </c>
      <c r="C38" s="9" t="s">
        <v>26</v>
      </c>
      <c r="D38" s="10">
        <v>10000</v>
      </c>
      <c r="E38" s="6">
        <v>1.6184E-2</v>
      </c>
      <c r="F38" s="6">
        <v>2.5575000000000001E-2</v>
      </c>
      <c r="G38" s="6">
        <v>3.7239999999999999E-3</v>
      </c>
      <c r="H38" s="6">
        <v>5.5230000000000001E-3</v>
      </c>
      <c r="I38" s="6">
        <v>1.0337000000000001E-2</v>
      </c>
      <c r="J38" s="7">
        <f t="shared" si="2"/>
        <v>1.2268600000000001E-2</v>
      </c>
    </row>
    <row r="40" spans="2:10" ht="18" customHeight="1" x14ac:dyDescent="0.2">
      <c r="B40" s="3" t="s">
        <v>29</v>
      </c>
      <c r="C40" s="4" t="s">
        <v>25</v>
      </c>
      <c r="D40" s="5">
        <v>100</v>
      </c>
      <c r="E40" s="6">
        <v>0.18821099999999999</v>
      </c>
      <c r="F40" s="6">
        <v>0.275953</v>
      </c>
      <c r="G40" s="6">
        <v>0.27041500000000002</v>
      </c>
      <c r="H40" s="6">
        <v>0.20546600000000001</v>
      </c>
      <c r="I40" s="6">
        <v>0.17687</v>
      </c>
      <c r="J40" s="7">
        <f t="shared" ref="J40:J49" si="3">AVERAGE(E40:I40)</f>
        <v>0.22338300000000003</v>
      </c>
    </row>
    <row r="41" spans="2:10" ht="18" customHeight="1" x14ac:dyDescent="0.2">
      <c r="B41" s="3" t="s">
        <v>29</v>
      </c>
      <c r="C41" s="4" t="s">
        <v>25</v>
      </c>
      <c r="D41" s="5">
        <v>500</v>
      </c>
      <c r="E41" s="6">
        <v>0.68459400000000004</v>
      </c>
      <c r="F41" s="6">
        <v>1.3141719999999999</v>
      </c>
      <c r="G41" s="6">
        <v>1.141294</v>
      </c>
      <c r="H41" s="6">
        <v>1.5016860000000001</v>
      </c>
      <c r="I41" s="6">
        <v>0.89005000000000001</v>
      </c>
      <c r="J41" s="7">
        <f t="shared" si="3"/>
        <v>1.1063592</v>
      </c>
    </row>
    <row r="42" spans="2:10" ht="18" customHeight="1" x14ac:dyDescent="0.2">
      <c r="B42" s="3" t="s">
        <v>29</v>
      </c>
      <c r="C42" s="4" t="s">
        <v>25</v>
      </c>
      <c r="D42" s="5">
        <v>1000</v>
      </c>
      <c r="E42" s="6">
        <v>0.94841200000000003</v>
      </c>
      <c r="F42" s="6">
        <v>1.1203799999999999</v>
      </c>
      <c r="G42" s="6">
        <v>1.631454</v>
      </c>
      <c r="H42" s="6">
        <v>1.562389</v>
      </c>
      <c r="I42" s="6">
        <v>1.2204759999999999</v>
      </c>
      <c r="J42" s="7">
        <f t="shared" si="3"/>
        <v>1.2966221999999998</v>
      </c>
    </row>
    <row r="43" spans="2:10" ht="18" customHeight="1" x14ac:dyDescent="0.2">
      <c r="B43" s="3" t="s">
        <v>29</v>
      </c>
      <c r="C43" s="4" t="s">
        <v>25</v>
      </c>
      <c r="D43" s="5">
        <v>5000</v>
      </c>
      <c r="E43" s="6">
        <v>23.324929999999998</v>
      </c>
      <c r="F43" s="6">
        <v>27.397628000000001</v>
      </c>
      <c r="G43" s="6">
        <v>26.999009000000001</v>
      </c>
      <c r="H43" s="6">
        <v>25.600898999999998</v>
      </c>
      <c r="I43" s="6">
        <v>21.956009000000002</v>
      </c>
      <c r="J43" s="7">
        <f t="shared" si="3"/>
        <v>25.055694999999996</v>
      </c>
    </row>
    <row r="44" spans="2:10" ht="18" customHeight="1" x14ac:dyDescent="0.2">
      <c r="B44" s="3" t="s">
        <v>29</v>
      </c>
      <c r="C44" s="4" t="s">
        <v>25</v>
      </c>
      <c r="D44" s="5">
        <v>10000</v>
      </c>
      <c r="E44" s="6">
        <v>107.321113</v>
      </c>
      <c r="F44" s="6">
        <v>120.676219</v>
      </c>
      <c r="G44" s="6">
        <v>190.36694299999999</v>
      </c>
      <c r="H44" s="6">
        <v>123.224312</v>
      </c>
      <c r="I44" s="6">
        <v>126.54064099999999</v>
      </c>
      <c r="J44" s="7">
        <f t="shared" si="3"/>
        <v>133.62584559999999</v>
      </c>
    </row>
    <row r="45" spans="2:10" ht="18" customHeight="1" x14ac:dyDescent="0.2">
      <c r="B45" s="8" t="s">
        <v>29</v>
      </c>
      <c r="C45" s="9" t="s">
        <v>26</v>
      </c>
      <c r="D45" s="10">
        <v>100</v>
      </c>
      <c r="E45" s="6">
        <v>4.7451E-2</v>
      </c>
      <c r="F45" s="6">
        <v>6.3186999999999993E-2</v>
      </c>
      <c r="G45" s="6">
        <v>7.3874999999999996E-2</v>
      </c>
      <c r="H45" s="6">
        <v>8.4709999999999994E-2</v>
      </c>
      <c r="I45" s="6">
        <v>6.0711000000000001E-2</v>
      </c>
      <c r="J45" s="7">
        <f t="shared" si="3"/>
        <v>6.5986799999999998E-2</v>
      </c>
    </row>
    <row r="46" spans="2:10" ht="18" customHeight="1" x14ac:dyDescent="0.2">
      <c r="B46" s="8" t="s">
        <v>29</v>
      </c>
      <c r="C46" s="9" t="s">
        <v>26</v>
      </c>
      <c r="D46" s="10">
        <v>500</v>
      </c>
      <c r="E46" s="6">
        <v>0.50603399999999998</v>
      </c>
      <c r="F46" s="6">
        <v>0.62224400000000002</v>
      </c>
      <c r="G46" s="6">
        <v>0.92972100000000002</v>
      </c>
      <c r="H46" s="6">
        <v>0.60511400000000004</v>
      </c>
      <c r="I46" s="6">
        <v>0.63812500000000005</v>
      </c>
      <c r="J46" s="7">
        <f t="shared" si="3"/>
        <v>0.66024759999999993</v>
      </c>
    </row>
    <row r="47" spans="2:10" ht="18" customHeight="1" x14ac:dyDescent="0.2">
      <c r="B47" s="8" t="s">
        <v>29</v>
      </c>
      <c r="C47" s="9" t="s">
        <v>26</v>
      </c>
      <c r="D47" s="10">
        <v>1000</v>
      </c>
      <c r="E47" s="6">
        <v>0.63200800000000001</v>
      </c>
      <c r="F47" s="6">
        <v>0.805786</v>
      </c>
      <c r="G47" s="6">
        <v>1.1967129999999999</v>
      </c>
      <c r="H47" s="6">
        <v>0.69803199999999999</v>
      </c>
      <c r="I47" s="6">
        <v>0.89629099999999995</v>
      </c>
      <c r="J47" s="7">
        <f t="shared" si="3"/>
        <v>0.84576600000000002</v>
      </c>
    </row>
    <row r="48" spans="2:10" ht="18" customHeight="1" x14ac:dyDescent="0.2">
      <c r="B48" s="8" t="s">
        <v>29</v>
      </c>
      <c r="C48" s="9" t="s">
        <v>26</v>
      </c>
      <c r="D48" s="10">
        <v>5000</v>
      </c>
      <c r="E48" s="6">
        <v>17.990212</v>
      </c>
      <c r="F48" s="6">
        <v>22.348020000000002</v>
      </c>
      <c r="G48" s="6">
        <v>25.284918000000001</v>
      </c>
      <c r="H48" s="6">
        <v>27.975162000000001</v>
      </c>
      <c r="I48" s="6">
        <v>21.496421000000002</v>
      </c>
      <c r="J48" s="7">
        <f t="shared" si="3"/>
        <v>23.0189466</v>
      </c>
    </row>
    <row r="49" spans="2:10" ht="18" customHeight="1" x14ac:dyDescent="0.2">
      <c r="B49" s="8" t="s">
        <v>29</v>
      </c>
      <c r="C49" s="9" t="s">
        <v>26</v>
      </c>
      <c r="D49" s="10">
        <v>10000</v>
      </c>
      <c r="E49" s="6">
        <v>84.083438999999998</v>
      </c>
      <c r="F49" s="6">
        <v>108.239347</v>
      </c>
      <c r="G49" s="6">
        <v>112.717274</v>
      </c>
      <c r="H49" s="6">
        <v>103.80133499999999</v>
      </c>
      <c r="I49" s="6">
        <v>104.92537299999999</v>
      </c>
      <c r="J49" s="7">
        <f t="shared" si="3"/>
        <v>102.75335360000001</v>
      </c>
    </row>
    <row r="52" spans="2:10" x14ac:dyDescent="0.2">
      <c r="B52" s="39" t="s">
        <v>30</v>
      </c>
      <c r="C52" s="39"/>
      <c r="D52" s="39"/>
      <c r="E52" s="39"/>
      <c r="F52" s="39"/>
      <c r="G52" s="39"/>
      <c r="H52" s="39"/>
      <c r="I52" s="39"/>
      <c r="J52" s="39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>
      <selection activeCell="C9" sqref="C9"/>
    </sheetView>
  </sheetViews>
  <sheetFormatPr baseColWidth="10" defaultColWidth="8.6640625" defaultRowHeight="15" customHeight="1" x14ac:dyDescent="0.2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">
      <c r="B1" s="38" t="s">
        <v>31</v>
      </c>
      <c r="C1" s="38"/>
      <c r="D1" s="38"/>
    </row>
    <row r="2" spans="2:4" ht="21.75" customHeight="1" x14ac:dyDescent="0.2">
      <c r="B2" s="3" t="s">
        <v>32</v>
      </c>
      <c r="C2" s="11" t="s">
        <v>33</v>
      </c>
      <c r="D2" s="11" t="s">
        <v>34</v>
      </c>
    </row>
    <row r="3" spans="2:4" ht="9.75" customHeight="1" x14ac:dyDescent="0.2"/>
    <row r="4" spans="2:4" ht="30" customHeight="1" x14ac:dyDescent="0.2">
      <c r="B4" s="1" t="s">
        <v>17</v>
      </c>
      <c r="C4" s="1" t="s">
        <v>35</v>
      </c>
      <c r="D4" s="2" t="s">
        <v>36</v>
      </c>
    </row>
    <row r="5" spans="2:4" ht="19.5" customHeight="1" x14ac:dyDescent="0.2">
      <c r="B5" s="12">
        <v>5</v>
      </c>
      <c r="C5" s="13">
        <v>6.2347E-2</v>
      </c>
      <c r="D5" s="14">
        <f>AVERAGEIFS('1. Datos_Crudos'!$J:$J,'1. Datos_Crudos'!$B:$B,"A1 - Factorial",'1. Datos_Crudos'!$C:$C,"Recursivo",'1. Datos_Crudos'!$D:$D,B5)</f>
        <v>4.8294000000000002E-3</v>
      </c>
    </row>
    <row r="6" spans="2:4" ht="19.5" customHeight="1" x14ac:dyDescent="0.2">
      <c r="B6" s="15">
        <v>10</v>
      </c>
      <c r="C6" s="16">
        <f>AVERAGEIFS('1. Datos_Crudos'!$J:$J,'1. Datos_Crudos'!$B:$B,"A1 - Factorial",'1. Datos_Crudos'!$C:$C,"Iterativo",'1. Datos_Crudos'!$D:$D,B6)</f>
        <v>1.6009200000000001E-2</v>
      </c>
      <c r="D6" s="17">
        <f>AVERAGEIFS('1. Datos_Crudos'!$J:$J,'1. Datos_Crudos'!$B:$B,"A1 - Factorial",'1. Datos_Crudos'!$C:$C,"Recursivo",'1. Datos_Crudos'!$D:$D,B6)</f>
        <v>4.8275999999999996E-3</v>
      </c>
    </row>
    <row r="7" spans="2:4" ht="19.5" customHeight="1" x14ac:dyDescent="0.2">
      <c r="B7" s="12">
        <v>15</v>
      </c>
      <c r="C7" s="13">
        <f>AVERAGEIFS('1. Datos_Crudos'!$J:$J,'1. Datos_Crudos'!$B:$B,"A1 - Factorial",'1. Datos_Crudos'!$C:$C,"Iterativo",'1. Datos_Crudos'!$D:$D,B7)</f>
        <v>1.8479599999999999E-2</v>
      </c>
      <c r="D7" s="14">
        <f>AVERAGEIFS('1. Datos_Crudos'!$J:$J,'1. Datos_Crudos'!$B:$B,"A1 - Factorial",'1. Datos_Crudos'!$C:$C,"Recursivo",'1. Datos_Crudos'!$D:$D,B7)</f>
        <v>6.0374000000000001E-3</v>
      </c>
    </row>
    <row r="8" spans="2:4" ht="19.5" customHeight="1" x14ac:dyDescent="0.2">
      <c r="B8" s="15">
        <v>20</v>
      </c>
      <c r="C8" s="16">
        <f>AVERAGEIFS('1. Datos_Crudos'!$J:$J,'1. Datos_Crudos'!$B:$B,"A1 - Factorial",'1. Datos_Crudos'!$C:$C,"Iterativo",'1. Datos_Crudos'!$D:$D,B8)</f>
        <v>2.1714000000000001E-2</v>
      </c>
      <c r="D8" s="17">
        <f>AVERAGEIFS('1. Datos_Crudos'!$J:$J,'1. Datos_Crudos'!$B:$B,"A1 - Factorial",'1. Datos_Crudos'!$C:$C,"Recursivo",'1. Datos_Crudos'!$D:$D,B8)</f>
        <v>8.7083999999999998E-3</v>
      </c>
    </row>
    <row r="9" spans="2:4" ht="19.5" customHeight="1" x14ac:dyDescent="0.2">
      <c r="B9" s="12">
        <v>25</v>
      </c>
      <c r="C9" s="13">
        <f>AVERAGEIFS('1. Datos_Crudos'!$J:$J,'1. Datos_Crudos'!$B:$B,"A1 - Factorial",'1. Datos_Crudos'!$C:$C,"Iterativo",'1. Datos_Crudos'!$D:$D,B9)</f>
        <v>2.3922800000000001E-2</v>
      </c>
      <c r="D9" s="14">
        <f>AVERAGEIFS('1. Datos_Crudos'!$J:$J,'1. Datos_Crudos'!$B:$B,"A1 - Factorial",'1. Datos_Crudos'!$C:$C,"Recursivo",'1. Datos_Crudos'!$D:$D,B9)</f>
        <v>1.2848799999999999E-2</v>
      </c>
    </row>
    <row r="10" spans="2:4" ht="19.5" customHeight="1" x14ac:dyDescent="0.2">
      <c r="B10" s="15">
        <v>30</v>
      </c>
      <c r="C10" s="16">
        <f>AVERAGEIFS('1. Datos_Crudos'!$J:$J,'1. Datos_Crudos'!$B:$B,"A1 - Factorial",'1. Datos_Crudos'!$C:$C,"Iterativo",'1. Datos_Crudos'!$D:$D,B10)</f>
        <v>1.61672E-2</v>
      </c>
      <c r="D10" s="17">
        <f>AVERAGEIFS('1. Datos_Crudos'!$J:$J,'1. Datos_Crudos'!$B:$B,"A1 - Factorial",'1. Datos_Crudos'!$C:$C,"Recursivo",'1. Datos_Crudos'!$D:$D,B10)</f>
        <v>9.6389999999999983E-3</v>
      </c>
    </row>
    <row r="12" spans="2:4" ht="39.75" customHeight="1" x14ac:dyDescent="0.2">
      <c r="B12" s="40" t="s">
        <v>37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">
      <c r="B1" s="38" t="s">
        <v>38</v>
      </c>
      <c r="C1" s="38"/>
      <c r="D1" s="38"/>
    </row>
    <row r="2" spans="2:4" ht="21.75" customHeight="1" x14ac:dyDescent="0.2">
      <c r="B2" s="3" t="s">
        <v>32</v>
      </c>
      <c r="C2" s="11" t="s">
        <v>33</v>
      </c>
      <c r="D2" s="18" t="s">
        <v>39</v>
      </c>
    </row>
    <row r="3" spans="2:4" ht="9.75" customHeight="1" x14ac:dyDescent="0.2"/>
    <row r="4" spans="2:4" ht="30" customHeight="1" x14ac:dyDescent="0.2">
      <c r="B4" s="1" t="s">
        <v>17</v>
      </c>
      <c r="C4" s="1" t="s">
        <v>35</v>
      </c>
      <c r="D4" s="2" t="s">
        <v>40</v>
      </c>
    </row>
    <row r="5" spans="2:4" ht="19.5" customHeight="1" x14ac:dyDescent="0.2">
      <c r="B5" s="12">
        <v>5</v>
      </c>
      <c r="C5" s="13">
        <f>AVERAGEIFS('1. Datos_Crudos'!$J:$J,'1. Datos_Crudos'!$B:$B,"A2 - Fibonacci",'1. Datos_Crudos'!$C:$C,"Iterativo",'1. Datos_Crudos'!$D:$D,B5)</f>
        <v>5.8532799999999996E-2</v>
      </c>
      <c r="D5" s="19">
        <f>AVERAGEIFS('1. Datos_Crudos'!$J:$J,'1. Datos_Crudos'!$B:$B,"A2 - Fibonacci",'1. Datos_Crudos'!$C:$C,"Recursivo",'1. Datos_Crudos'!$D:$D,B5)</f>
        <v>2.1628000000000003E-3</v>
      </c>
    </row>
    <row r="6" spans="2:4" ht="19.5" customHeight="1" x14ac:dyDescent="0.2">
      <c r="B6" s="15">
        <v>10</v>
      </c>
      <c r="C6" s="16">
        <f>AVERAGEIFS('1. Datos_Crudos'!$J:$J,'1. Datos_Crudos'!$B:$B,"A2 - Fibonacci",'1. Datos_Crudos'!$C:$C,"Iterativo",'1. Datos_Crudos'!$D:$D,B6)</f>
        <v>6.3020000000000003E-4</v>
      </c>
      <c r="D6" s="20">
        <f>AVERAGEIFS('1. Datos_Crudos'!$J:$J,'1. Datos_Crudos'!$B:$B,"A2 - Fibonacci",'1. Datos_Crudos'!$C:$C,"Recursivo",'1. Datos_Crudos'!$D:$D,B6)</f>
        <v>1.6634199999999998E-2</v>
      </c>
    </row>
    <row r="7" spans="2:4" ht="19.5" customHeight="1" x14ac:dyDescent="0.2">
      <c r="B7" s="12">
        <v>15</v>
      </c>
      <c r="C7" s="13">
        <f>AVERAGEIFS('1. Datos_Crudos'!$J:$J,'1. Datos_Crudos'!$B:$B,"A2 - Fibonacci",'1. Datos_Crudos'!$C:$C,"Iterativo",'1. Datos_Crudos'!$D:$D,B7)</f>
        <v>5.7059999999999999E-4</v>
      </c>
      <c r="D7" s="19">
        <f>AVERAGEIFS('1. Datos_Crudos'!$J:$J,'1. Datos_Crudos'!$B:$B,"A2 - Fibonacci",'1. Datos_Crudos'!$C:$C,"Recursivo",'1. Datos_Crudos'!$D:$D,B7)</f>
        <v>2.2536199999999999E-2</v>
      </c>
    </row>
    <row r="8" spans="2:4" ht="19.5" customHeight="1" x14ac:dyDescent="0.2">
      <c r="B8" s="15">
        <v>20</v>
      </c>
      <c r="C8" s="16">
        <f>AVERAGEIFS('1. Datos_Crudos'!$J:$J,'1. Datos_Crudos'!$B:$B,"A2 - Fibonacci",'1. Datos_Crudos'!$C:$C,"Iterativo",'1. Datos_Crudos'!$D:$D,B8)</f>
        <v>6.2960000000000002E-4</v>
      </c>
      <c r="D8" s="20">
        <f>AVERAGEIFS('1. Datos_Crudos'!$J:$J,'1. Datos_Crudos'!$B:$B,"A2 - Fibonacci",'1. Datos_Crudos'!$C:$C,"Recursivo",'1. Datos_Crudos'!$D:$D,B8)</f>
        <v>7.6810000000000003E-2</v>
      </c>
    </row>
    <row r="9" spans="2:4" ht="19.5" customHeight="1" x14ac:dyDescent="0.2">
      <c r="B9" s="12">
        <v>25</v>
      </c>
      <c r="C9" s="13">
        <f>AVERAGEIFS('1. Datos_Crudos'!$J:$J,'1. Datos_Crudos'!$B:$B,"A2 - Fibonacci",'1. Datos_Crudos'!$C:$C,"Iterativo",'1. Datos_Crudos'!$D:$D,B9)</f>
        <v>9.1040000000000012E-4</v>
      </c>
      <c r="D9" s="19">
        <f>AVERAGEIFS('1. Datos_Crudos'!$J:$J,'1. Datos_Crudos'!$B:$B,"A2 - Fibonacci",'1. Datos_Crudos'!$C:$C,"Recursivo",'1. Datos_Crudos'!$D:$D,B9)</f>
        <v>0.51206639999999992</v>
      </c>
    </row>
    <row r="10" spans="2:4" ht="19.5" customHeight="1" x14ac:dyDescent="0.2">
      <c r="B10" s="15">
        <v>30</v>
      </c>
      <c r="C10" s="16">
        <f>AVERAGEIFS('1. Datos_Crudos'!$J:$J,'1. Datos_Crudos'!$B:$B,"A2 - Fibonacci",'1. Datos_Crudos'!$C:$C,"Iterativo",'1. Datos_Crudos'!$D:$D,B10)</f>
        <v>8.3120000000000004E-4</v>
      </c>
      <c r="D10" s="20">
        <f>AVERAGEIFS('1. Datos_Crudos'!$J:$J,'1. Datos_Crudos'!$B:$B,"A2 - Fibonacci",'1. Datos_Crudos'!$C:$C,"Recursivo",'1. Datos_Crudos'!$D:$D,B10)</f>
        <v>4.7294042000000003</v>
      </c>
    </row>
    <row r="12" spans="2:4" ht="39.75" customHeight="1" x14ac:dyDescent="0.2">
      <c r="B12" s="40" t="s">
        <v>41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">
      <c r="B1" s="38" t="s">
        <v>42</v>
      </c>
      <c r="C1" s="38"/>
      <c r="D1" s="38"/>
    </row>
    <row r="2" spans="2:4" ht="21.75" customHeight="1" x14ac:dyDescent="0.2">
      <c r="B2" s="3" t="s">
        <v>32</v>
      </c>
      <c r="C2" s="11" t="s">
        <v>33</v>
      </c>
      <c r="D2" s="11" t="s">
        <v>34</v>
      </c>
    </row>
    <row r="3" spans="2:4" ht="9.75" customHeight="1" x14ac:dyDescent="0.2"/>
    <row r="4" spans="2:4" ht="30" customHeight="1" x14ac:dyDescent="0.2">
      <c r="B4" s="1" t="s">
        <v>17</v>
      </c>
      <c r="C4" s="1" t="s">
        <v>35</v>
      </c>
      <c r="D4" s="2" t="s">
        <v>36</v>
      </c>
    </row>
    <row r="5" spans="2:4" ht="19.5" customHeight="1" x14ac:dyDescent="0.2">
      <c r="B5" s="12">
        <v>100</v>
      </c>
      <c r="C5" s="13">
        <f>AVERAGEIFS('1. Datos_Crudos'!$J:$J,'1. Datos_Crudos'!$B:$B,"A3 - Busqueda Lineal",'1. Datos_Crudos'!$C:$C,"Iterativo",'1. Datos_Crudos'!$D:$D,B5)</f>
        <v>4.5307E-2</v>
      </c>
      <c r="D5" s="14">
        <f>AVERAGEIFS('1. Datos_Crudos'!$J:$J,'1. Datos_Crudos'!$B:$B,"A3 - Busqueda Lineal",'1. Datos_Crudos'!$C:$C,"Recursivo",'1. Datos_Crudos'!$D:$D,B5)</f>
        <v>4.2074E-3</v>
      </c>
    </row>
    <row r="6" spans="2:4" ht="19.5" customHeight="1" x14ac:dyDescent="0.2">
      <c r="B6" s="15">
        <v>500</v>
      </c>
      <c r="C6" s="16">
        <f>AVERAGEIFS('1. Datos_Crudos'!$J:$J,'1. Datos_Crudos'!$B:$B,"A3 - Busqueda Lineal",'1. Datos_Crudos'!$C:$C,"Iterativo",'1. Datos_Crudos'!$D:$D,B6)</f>
        <v>3.0452000000000005E-3</v>
      </c>
      <c r="D6" s="17">
        <f>AVERAGEIFS('1. Datos_Crudos'!$J:$J,'1. Datos_Crudos'!$B:$B,"A3 - Busqueda Lineal",'1. Datos_Crudos'!$C:$C,"Recursivo",'1. Datos_Crudos'!$D:$D,B6)</f>
        <v>8.5141999999999995E-3</v>
      </c>
    </row>
    <row r="7" spans="2:4" ht="19.5" customHeight="1" x14ac:dyDescent="0.2">
      <c r="B7" s="12">
        <v>1000</v>
      </c>
      <c r="C7" s="13">
        <f>AVERAGEIFS('1. Datos_Crudos'!$J:$J,'1. Datos_Crudos'!$B:$B,"A3 - Busqueda Lineal",'1. Datos_Crudos'!$C:$C,"Iterativo",'1. Datos_Crudos'!$D:$D,B7)</f>
        <v>6.8896000000000001E-3</v>
      </c>
      <c r="D7" s="14">
        <f>AVERAGEIFS('1. Datos_Crudos'!$J:$J,'1. Datos_Crudos'!$B:$B,"A3 - Busqueda Lineal",'1. Datos_Crudos'!$C:$C,"Recursivo",'1. Datos_Crudos'!$D:$D,B7)</f>
        <v>1.1696999999999999E-2</v>
      </c>
    </row>
    <row r="8" spans="2:4" ht="19.5" customHeight="1" x14ac:dyDescent="0.2">
      <c r="B8" s="15">
        <v>5000</v>
      </c>
      <c r="C8" s="16">
        <f>AVERAGEIFS('1. Datos_Crudos'!$J:$J,'1. Datos_Crudos'!$B:$B,"A3 - Busqueda Lineal",'1. Datos_Crudos'!$C:$C,"Iterativo",'1. Datos_Crudos'!$D:$D,B8)</f>
        <v>2.7230000000000004E-2</v>
      </c>
      <c r="D8" s="17">
        <f>AVERAGEIFS('1. Datos_Crudos'!$J:$J,'1. Datos_Crudos'!$B:$B,"A3 - Busqueda Lineal",'1. Datos_Crudos'!$C:$C,"Recursivo",'1. Datos_Crudos'!$D:$D,B8)</f>
        <v>1.3024799999999998E-2</v>
      </c>
    </row>
    <row r="9" spans="2:4" ht="19.5" customHeight="1" x14ac:dyDescent="0.2">
      <c r="B9" s="12">
        <v>10000</v>
      </c>
      <c r="C9" s="13">
        <f>AVERAGEIFS('1. Datos_Crudos'!$J:$J,'1. Datos_Crudos'!$B:$B,"A3 - Busqueda Lineal",'1. Datos_Crudos'!$C:$C,"Iterativo",'1. Datos_Crudos'!$D:$D,B9)</f>
        <v>7.6614399999999999E-2</v>
      </c>
      <c r="D9" s="14">
        <f>AVERAGEIFS('1. Datos_Crudos'!$J:$J,'1. Datos_Crudos'!$B:$B,"A3 - Busqueda Lineal",'1. Datos_Crudos'!$C:$C,"Recursivo",'1. Datos_Crudos'!$D:$D,B9)</f>
        <v>1.2268600000000001E-2</v>
      </c>
    </row>
    <row r="11" spans="2:4" ht="39.75" customHeight="1" x14ac:dyDescent="0.2">
      <c r="B11" s="40" t="s">
        <v>43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">
      <c r="B1" s="38" t="s">
        <v>44</v>
      </c>
      <c r="C1" s="38"/>
      <c r="D1" s="38"/>
    </row>
    <row r="2" spans="2:4" ht="21.75" customHeight="1" x14ac:dyDescent="0.2">
      <c r="B2" s="3" t="s">
        <v>32</v>
      </c>
      <c r="C2" s="11" t="s">
        <v>45</v>
      </c>
      <c r="D2" s="11" t="s">
        <v>46</v>
      </c>
    </row>
    <row r="3" spans="2:4" ht="9.75" customHeight="1" x14ac:dyDescent="0.2"/>
    <row r="4" spans="2:4" ht="30" customHeight="1" x14ac:dyDescent="0.2">
      <c r="B4" s="1" t="s">
        <v>17</v>
      </c>
      <c r="C4" s="1" t="s">
        <v>47</v>
      </c>
      <c r="D4" s="2" t="s">
        <v>48</v>
      </c>
    </row>
    <row r="5" spans="2:4" ht="19.5" customHeight="1" x14ac:dyDescent="0.2">
      <c r="B5" s="12">
        <v>100</v>
      </c>
      <c r="C5" s="13">
        <f>AVERAGEIFS('1. Datos_Crudos'!$J:$J,'1. Datos_Crudos'!$B:$B,"A4 - Burbuja",'1. Datos_Crudos'!$C:$C,"Iterativo",'1. Datos_Crudos'!$D:$D,B5)</f>
        <v>0.22338300000000003</v>
      </c>
      <c r="D5" s="14">
        <f>AVERAGEIFS('1. Datos_Crudos'!$J:$J,'1. Datos_Crudos'!$B:$B,"A4 - Burbuja",'1. Datos_Crudos'!$C:$C,"Recursivo",'1. Datos_Crudos'!$D:$D,B5)</f>
        <v>6.5986799999999998E-2</v>
      </c>
    </row>
    <row r="6" spans="2:4" ht="19.5" customHeight="1" x14ac:dyDescent="0.2">
      <c r="B6" s="15">
        <v>500</v>
      </c>
      <c r="C6" s="16">
        <f>AVERAGEIFS('1. Datos_Crudos'!$J:$J,'1. Datos_Crudos'!$B:$B,"A4 - Burbuja",'1. Datos_Crudos'!$C:$C,"Iterativo",'1. Datos_Crudos'!$D:$D,B6)</f>
        <v>1.1063592</v>
      </c>
      <c r="D6" s="17">
        <f>AVERAGEIFS('1. Datos_Crudos'!$J:$J,'1. Datos_Crudos'!$B:$B,"A4 - Burbuja",'1. Datos_Crudos'!$C:$C,"Recursivo",'1. Datos_Crudos'!$D:$D,B6)</f>
        <v>0.66024759999999993</v>
      </c>
    </row>
    <row r="7" spans="2:4" ht="19.5" customHeight="1" x14ac:dyDescent="0.2">
      <c r="B7" s="12">
        <v>1000</v>
      </c>
      <c r="C7" s="13">
        <f>AVERAGEIFS('1. Datos_Crudos'!$J:$J,'1. Datos_Crudos'!$B:$B,"A4 - Burbuja",'1. Datos_Crudos'!$C:$C,"Iterativo",'1. Datos_Crudos'!$D:$D,B7)</f>
        <v>1.2966221999999998</v>
      </c>
      <c r="D7" s="14">
        <f>AVERAGEIFS('1. Datos_Crudos'!$J:$J,'1. Datos_Crudos'!$B:$B,"A4 - Burbuja",'1. Datos_Crudos'!$C:$C,"Recursivo",'1. Datos_Crudos'!$D:$D,B7)</f>
        <v>0.84576600000000002</v>
      </c>
    </row>
    <row r="8" spans="2:4" ht="19.5" customHeight="1" x14ac:dyDescent="0.2">
      <c r="B8" s="15">
        <v>5000</v>
      </c>
      <c r="C8" s="16">
        <f>AVERAGEIFS('1. Datos_Crudos'!$J:$J,'1. Datos_Crudos'!$B:$B,"A4 - Burbuja",'1. Datos_Crudos'!$C:$C,"Iterativo",'1. Datos_Crudos'!$D:$D,B8)</f>
        <v>25.055694999999996</v>
      </c>
      <c r="D8" s="17">
        <f>AVERAGEIFS('1. Datos_Crudos'!$J:$J,'1. Datos_Crudos'!$B:$B,"A4 - Burbuja",'1. Datos_Crudos'!$C:$C,"Recursivo",'1. Datos_Crudos'!$D:$D,B8)</f>
        <v>23.0189466</v>
      </c>
    </row>
    <row r="9" spans="2:4" ht="19.5" customHeight="1" x14ac:dyDescent="0.2">
      <c r="B9" s="12">
        <v>10000</v>
      </c>
      <c r="C9" s="13">
        <f>AVERAGEIFS('1. Datos_Crudos'!$J:$J,'1. Datos_Crudos'!$B:$B,"A4 - Burbuja",'1. Datos_Crudos'!$C:$C,"Iterativo",'1. Datos_Crudos'!$D:$D,B9)</f>
        <v>133.62584559999999</v>
      </c>
      <c r="D9" s="14">
        <f>AVERAGEIFS('1. Datos_Crudos'!$J:$J,'1. Datos_Crudos'!$B:$B,"A4 - Burbuja",'1. Datos_Crudos'!$C:$C,"Recursivo",'1. Datos_Crudos'!$D:$D,B9)</f>
        <v>102.75335360000001</v>
      </c>
    </row>
    <row r="11" spans="2:4" ht="39.75" customHeight="1" x14ac:dyDescent="0.2">
      <c r="B11" s="40" t="s">
        <v>49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tabSelected="1" zoomScaleNormal="100" workbookViewId="0">
      <selection activeCell="G11" sqref="G11"/>
    </sheetView>
  </sheetViews>
  <sheetFormatPr baseColWidth="10" defaultColWidth="8.6640625" defaultRowHeight="15" customHeight="1" x14ac:dyDescent="0.2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75" customHeight="1" x14ac:dyDescent="0.2">
      <c r="B1" s="38" t="s">
        <v>50</v>
      </c>
      <c r="C1" s="38"/>
      <c r="D1" s="38"/>
      <c r="E1" s="38"/>
      <c r="F1" s="38"/>
      <c r="G1" s="38"/>
    </row>
    <row r="2" spans="2:7" ht="9.75" customHeight="1" x14ac:dyDescent="0.2"/>
    <row r="3" spans="2:7" ht="30" customHeight="1" x14ac:dyDescent="0.2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21.75" customHeight="1" x14ac:dyDescent="0.2">
      <c r="B4" s="23" t="s">
        <v>24</v>
      </c>
      <c r="C4" s="24" t="s">
        <v>25</v>
      </c>
      <c r="D4" s="25" t="s">
        <v>33</v>
      </c>
      <c r="E4" s="23" t="s">
        <v>33</v>
      </c>
      <c r="F4" s="26" t="s">
        <v>66</v>
      </c>
      <c r="G4" s="27" t="s">
        <v>67</v>
      </c>
    </row>
    <row r="5" spans="2:7" ht="21.75" customHeight="1" x14ac:dyDescent="0.2">
      <c r="B5" s="28" t="s">
        <v>24</v>
      </c>
      <c r="C5" s="29" t="s">
        <v>26</v>
      </c>
      <c r="D5" s="25" t="s">
        <v>33</v>
      </c>
      <c r="E5" s="28" t="s">
        <v>33</v>
      </c>
      <c r="F5" s="26" t="s">
        <v>65</v>
      </c>
      <c r="G5" s="27" t="s">
        <v>68</v>
      </c>
    </row>
    <row r="6" spans="2:7" ht="21.75" customHeight="1" x14ac:dyDescent="0.2">
      <c r="B6" s="23" t="s">
        <v>27</v>
      </c>
      <c r="C6" s="24" t="s">
        <v>25</v>
      </c>
      <c r="D6" s="25" t="s">
        <v>33</v>
      </c>
      <c r="E6" s="23" t="s">
        <v>33</v>
      </c>
      <c r="F6" s="26" t="s">
        <v>65</v>
      </c>
      <c r="G6" s="27" t="s">
        <v>69</v>
      </c>
    </row>
    <row r="7" spans="2:7" ht="21.75" customHeight="1" x14ac:dyDescent="0.2">
      <c r="B7" s="28" t="s">
        <v>27</v>
      </c>
      <c r="C7" s="29" t="s">
        <v>26</v>
      </c>
      <c r="D7" s="25" t="s">
        <v>55</v>
      </c>
      <c r="E7" s="28" t="s">
        <v>55</v>
      </c>
      <c r="F7" s="26" t="s">
        <v>65</v>
      </c>
      <c r="G7" s="27" t="s">
        <v>70</v>
      </c>
    </row>
    <row r="8" spans="2:7" ht="21.75" customHeight="1" x14ac:dyDescent="0.2">
      <c r="B8" s="23" t="s">
        <v>28</v>
      </c>
      <c r="C8" s="24" t="s">
        <v>25</v>
      </c>
      <c r="D8" s="25" t="s">
        <v>33</v>
      </c>
      <c r="E8" s="23" t="s">
        <v>33</v>
      </c>
      <c r="F8" s="26" t="s">
        <v>65</v>
      </c>
      <c r="G8" s="27" t="s">
        <v>69</v>
      </c>
    </row>
    <row r="9" spans="2:7" ht="21.75" customHeight="1" x14ac:dyDescent="0.2">
      <c r="B9" s="28" t="s">
        <v>28</v>
      </c>
      <c r="C9" s="29" t="s">
        <v>26</v>
      </c>
      <c r="D9" s="25" t="s">
        <v>33</v>
      </c>
      <c r="E9" s="28" t="s">
        <v>33</v>
      </c>
      <c r="F9" s="26" t="s">
        <v>65</v>
      </c>
      <c r="G9" s="27" t="s">
        <v>69</v>
      </c>
    </row>
    <row r="10" spans="2:7" ht="21.75" customHeight="1" x14ac:dyDescent="0.2">
      <c r="B10" s="23" t="s">
        <v>29</v>
      </c>
      <c r="C10" s="24" t="s">
        <v>25</v>
      </c>
      <c r="D10" s="25" t="s">
        <v>55</v>
      </c>
      <c r="E10" s="23" t="s">
        <v>45</v>
      </c>
      <c r="F10" s="26" t="s">
        <v>65</v>
      </c>
      <c r="G10" s="27" t="s">
        <v>70</v>
      </c>
    </row>
    <row r="11" spans="2:7" ht="21.75" customHeight="1" x14ac:dyDescent="0.2">
      <c r="B11" s="28" t="s">
        <v>29</v>
      </c>
      <c r="C11" s="29" t="s">
        <v>26</v>
      </c>
      <c r="D11" s="25" t="s">
        <v>55</v>
      </c>
      <c r="E11" s="28" t="s">
        <v>45</v>
      </c>
      <c r="F11" s="26" t="s">
        <v>65</v>
      </c>
      <c r="G11" s="27" t="s">
        <v>70</v>
      </c>
    </row>
    <row r="14" spans="2:7" ht="7.5" customHeight="1" x14ac:dyDescent="0.2"/>
    <row r="15" spans="2:7" ht="15" customHeight="1" x14ac:dyDescent="0.2">
      <c r="B15" s="42" t="s">
        <v>56</v>
      </c>
      <c r="C15" s="42"/>
      <c r="D15" s="42"/>
      <c r="E15" s="42"/>
      <c r="F15" s="42"/>
      <c r="G15" s="42"/>
    </row>
    <row r="16" spans="2:7" ht="19.5" customHeight="1" x14ac:dyDescent="0.2">
      <c r="B16" s="3" t="s">
        <v>57</v>
      </c>
      <c r="C16" s="43" t="s">
        <v>58</v>
      </c>
      <c r="D16" s="43"/>
      <c r="E16" s="43"/>
      <c r="F16" s="43"/>
      <c r="G16" s="43"/>
    </row>
    <row r="17" spans="2:7" ht="19.5" customHeight="1" x14ac:dyDescent="0.2">
      <c r="B17" s="8" t="s">
        <v>59</v>
      </c>
      <c r="C17" s="44" t="s">
        <v>60</v>
      </c>
      <c r="D17" s="44"/>
      <c r="E17" s="44"/>
      <c r="F17" s="44"/>
      <c r="G17" s="44"/>
    </row>
    <row r="18" spans="2:7" ht="19.5" customHeight="1" x14ac:dyDescent="0.2">
      <c r="B18" s="3" t="s">
        <v>61</v>
      </c>
      <c r="C18" s="43" t="s">
        <v>62</v>
      </c>
      <c r="D18" s="43"/>
      <c r="E18" s="43"/>
      <c r="F18" s="43"/>
      <c r="G18" s="43"/>
    </row>
    <row r="19" spans="2:7" ht="19.5" customHeight="1" x14ac:dyDescent="0.2">
      <c r="B19" s="30" t="s">
        <v>63</v>
      </c>
      <c r="C19" s="41" t="s">
        <v>64</v>
      </c>
      <c r="D19" s="41"/>
      <c r="E19" s="41"/>
      <c r="F19" s="41"/>
      <c r="G19" s="41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Elvis Santay</cp:lastModifiedBy>
  <cp:revision>1</cp:revision>
  <dcterms:created xsi:type="dcterms:W3CDTF">2026-02-20T06:55:59Z</dcterms:created>
  <dcterms:modified xsi:type="dcterms:W3CDTF">2026-03-06T05:08:19Z</dcterms:modified>
  <dc:language>en-US</dc:language>
</cp:coreProperties>
</file>